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zansi-6\Documents\mining-etl-fastapi\dashboard\"/>
    </mc:Choice>
  </mc:AlternateContent>
  <xr:revisionPtr revIDLastSave="0" documentId="13_ncr:1_{74F46DD0-6928-4017-957A-42BE928281B6}" xr6:coauthVersionLast="47" xr6:coauthVersionMax="47" xr10:uidLastSave="{00000000-0000-0000-0000-000000000000}"/>
  <bookViews>
    <workbookView xWindow="0" yWindow="15" windowWidth="24240" windowHeight="13740" xr2:uid="{BBD1F975-4BD2-41AE-A717-EA44C15450B8}"/>
  </bookViews>
  <sheets>
    <sheet name="High_Risk_Mines" sheetId="5" r:id="rId1"/>
    <sheet name="Top_Producers" sheetId="4" r:id="rId2"/>
  </sheets>
  <definedNames>
    <definedName name="ExternalData_1" localSheetId="1" hidden="1">Top_Producers!$A$1:$E$16</definedName>
    <definedName name="ExternalData_2" localSheetId="0" hidden="1">High_Risk_Mines!$A$1:$G$21</definedName>
  </definedNames>
  <calcPr calcId="191029"/>
  <pivotCaches>
    <pivotCache cacheId="3" r:id="rId3"/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40660B-CE78-4DAC-A0FE-0F37DF1162F2}" keepAlive="1" name="Query - High_Risk_Mines" description="Connection to the 'High_Risk_Mines' query in the workbook." type="5" refreshedVersion="8" background="1" saveData="1">
    <dbPr connection="Provider=Microsoft.Mashup.OleDb.1;Data Source=$Workbook$;Location=High_Risk_Mines;Extended Properties=&quot;&quot;" command="SELECT * FROM [High_Risk_Mines]"/>
  </connection>
  <connection id="2" xr16:uid="{18A140B2-F9D1-4285-BF02-9245AB4316D9}" keepAlive="1" name="Query - High_Risk_Mines (2)" description="Connection to the 'High_Risk_Mines (2)' query in the workbook." type="5" refreshedVersion="8" background="1" saveData="1">
    <dbPr connection="Provider=Microsoft.Mashup.OleDb.1;Data Source=$Workbook$;Location=&quot;High_Risk_Mines (2)&quot;;Extended Properties=&quot;&quot;" command="SELECT * FROM [High_Risk_Mines (2)]"/>
  </connection>
  <connection id="3" xr16:uid="{D3DB1A51-8AF7-4F1B-8A19-BAA64016642A}" keepAlive="1" name="Query - Top_Producers" description="Connection to the 'Top_Producers' query in the workbook." type="5" refreshedVersion="8" background="1" saveData="1">
    <dbPr connection="Provider=Microsoft.Mashup.OleDb.1;Data Source=$Workbook$;Location=Top_Producers;Extended Properties=&quot;&quot;" command="SELECT * FROM [Top_Producers]"/>
  </connection>
  <connection id="4" xr16:uid="{A71055D1-A7F0-4B6C-9402-6AD1D23A5EFC}" keepAlive="1" name="Query - Top_Producers (2)" description="Connection to the 'Top_Producers (2)' query in the workbook." type="5" refreshedVersion="8" background="1" saveData="1">
    <dbPr connection="Provider=Microsoft.Mashup.OleDb.1;Data Source=$Workbook$;Location=&quot;Top_Producers (2)&quot;;Extended Properties=&quot;&quot;" command="SELECT * FROM [Top_Producers (2)]"/>
  </connection>
  <connection id="5" xr16:uid="{4F2CBB11-04B4-4B40-AE64-5FC8281E096E}" keepAlive="1" name="Query - Top_Producers (3)" description="Connection to the 'Top_Producers (3)' query in the workbook." type="5" refreshedVersion="8" background="1" saveData="1">
    <dbPr connection="Provider=Microsoft.Mashup.OleDb.1;Data Source=$Workbook$;Location=&quot;Top_Producers (3)&quot;;Extended Properties=&quot;&quot;" command="SELECT * FROM [Top_Producers (3)]"/>
  </connection>
</connections>
</file>

<file path=xl/sharedStrings.xml><?xml version="1.0" encoding="utf-8"?>
<sst xmlns="http://schemas.openxmlformats.org/spreadsheetml/2006/main" count="178" uniqueCount="43">
  <si>
    <t>Australia</t>
  </si>
  <si>
    <t>Iron</t>
  </si>
  <si>
    <t>Brazil</t>
  </si>
  <si>
    <t>Chile</t>
  </si>
  <si>
    <t>Copper</t>
  </si>
  <si>
    <t>Peru</t>
  </si>
  <si>
    <t>Mexico</t>
  </si>
  <si>
    <t>Gold</t>
  </si>
  <si>
    <t>Russian Federation</t>
  </si>
  <si>
    <t>United States of America</t>
  </si>
  <si>
    <t>Nickel</t>
  </si>
  <si>
    <t>Aluminium</t>
  </si>
  <si>
    <t>Canada</t>
  </si>
  <si>
    <t>COM01015.00</t>
  </si>
  <si>
    <t>Prominent Hill</t>
  </si>
  <si>
    <t>High</t>
  </si>
  <si>
    <t>COM00827.00</t>
  </si>
  <si>
    <t>Minto</t>
  </si>
  <si>
    <t>COM00051.00</t>
  </si>
  <si>
    <t>Antas</t>
  </si>
  <si>
    <t>COM00587.00</t>
  </si>
  <si>
    <t>Jacinth-Ambrosia</t>
  </si>
  <si>
    <t>COM00104.00</t>
  </si>
  <si>
    <t>Batu Hijau</t>
  </si>
  <si>
    <t>Indonesia</t>
  </si>
  <si>
    <t>Row Labels</t>
  </si>
  <si>
    <t>Grand Total</t>
  </si>
  <si>
    <t>Column Labels</t>
  </si>
  <si>
    <t>Country</t>
  </si>
  <si>
    <t>Material</t>
  </si>
  <si>
    <t>Total_output</t>
  </si>
  <si>
    <t>Waste_ratio</t>
  </si>
  <si>
    <t>Num_mines</t>
  </si>
  <si>
    <t>Mine_id</t>
  </si>
  <si>
    <t>Facility_name</t>
  </si>
  <si>
    <t>Production_tonnes</t>
  </si>
  <si>
    <t>Risk_level</t>
  </si>
  <si>
    <t>Total Sum of Total_output</t>
  </si>
  <si>
    <t>Sum of Total_output</t>
  </si>
  <si>
    <t>Total Avgerage Waste_ratio</t>
  </si>
  <si>
    <t>Avgerage Waste_ratio</t>
  </si>
  <si>
    <t>Total Production (ton)</t>
  </si>
  <si>
    <t>Total Waste_ratio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</si>
</sst>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6" xfId="0" applyBorder="1"/>
    <xf numFmtId="0" fontId="0" fillId="0" borderId="0" xfId="0" applyBorder="1"/>
    <xf numFmtId="0" fontId="0" fillId="0" borderId="3" xfId="0" applyBorder="1"/>
    <xf numFmtId="0" fontId="0" fillId="0" borderId="1" xfId="0" applyNumberFormat="1" applyBorder="1"/>
    <xf numFmtId="0" fontId="0" fillId="0" borderId="2" xfId="0" pivotButton="1" applyBorder="1"/>
  </cellXfs>
  <cellStyles count="1">
    <cellStyle name="Normal" xfId="0" builtinId="0"/>
  </cellStyles>
  <dxfs count="42"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>
                <a:effectLst/>
              </a:rPr>
              <a:t>Top Producing Countries by Material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Top_Producers!$C$1</c:f>
              <c:strCache>
                <c:ptCount val="1"/>
                <c:pt idx="0">
                  <c:v>Total_output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Top_Producers!$A$2:$B$16</c15:sqref>
                  </c15:fullRef>
                  <c15:levelRef>
                    <c15:sqref>Top_Producers!$A$2:$A$16</c15:sqref>
                  </c15:levelRef>
                </c:ext>
              </c:extLst>
              <c:f>Top_Producers!$A$2:$A$16</c:f>
              <c:strCache>
                <c:ptCount val="15"/>
                <c:pt idx="0">
                  <c:v>Australia</c:v>
                </c:pt>
                <c:pt idx="1">
                  <c:v>Brazil</c:v>
                </c:pt>
                <c:pt idx="2">
                  <c:v>Chile</c:v>
                </c:pt>
                <c:pt idx="3">
                  <c:v>Peru</c:v>
                </c:pt>
                <c:pt idx="4">
                  <c:v>Mexico</c:v>
                </c:pt>
                <c:pt idx="5">
                  <c:v>Australia</c:v>
                </c:pt>
                <c:pt idx="6">
                  <c:v>Brazil</c:v>
                </c:pt>
                <c:pt idx="7">
                  <c:v>Russian Federation</c:v>
                </c:pt>
                <c:pt idx="8">
                  <c:v>United States of America</c:v>
                </c:pt>
                <c:pt idx="9">
                  <c:v>United States of America</c:v>
                </c:pt>
                <c:pt idx="10">
                  <c:v>Russian Federation</c:v>
                </c:pt>
                <c:pt idx="11">
                  <c:v>Peru</c:v>
                </c:pt>
                <c:pt idx="12">
                  <c:v>Mexico</c:v>
                </c:pt>
                <c:pt idx="13">
                  <c:v>Australia</c:v>
                </c:pt>
                <c:pt idx="14">
                  <c:v>Canada</c:v>
                </c:pt>
              </c:strCache>
            </c:strRef>
          </c:cat>
          <c:val>
            <c:numRef>
              <c:f>Top_Producers!$C$2:$C$16</c:f>
              <c:numCache>
                <c:formatCode>General</c:formatCode>
                <c:ptCount val="15"/>
                <c:pt idx="0">
                  <c:v>77016459733</c:v>
                </c:pt>
                <c:pt idx="1">
                  <c:v>27064424000</c:v>
                </c:pt>
                <c:pt idx="2">
                  <c:v>18000078400</c:v>
                </c:pt>
                <c:pt idx="3">
                  <c:v>5387678876</c:v>
                </c:pt>
                <c:pt idx="4">
                  <c:v>5179107383</c:v>
                </c:pt>
                <c:pt idx="5">
                  <c:v>5042587590</c:v>
                </c:pt>
                <c:pt idx="6">
                  <c:v>4702990589</c:v>
                </c:pt>
                <c:pt idx="7">
                  <c:v>4675744757</c:v>
                </c:pt>
                <c:pt idx="8">
                  <c:v>4491067623</c:v>
                </c:pt>
                <c:pt idx="9">
                  <c:v>4251955505</c:v>
                </c:pt>
                <c:pt idx="10">
                  <c:v>3239286496</c:v>
                </c:pt>
                <c:pt idx="11">
                  <c:v>2279360542</c:v>
                </c:pt>
                <c:pt idx="12">
                  <c:v>2196644642</c:v>
                </c:pt>
                <c:pt idx="13">
                  <c:v>2168748000</c:v>
                </c:pt>
                <c:pt idx="14">
                  <c:v>2046766178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7-489C-BBAC-DB274B8B8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29689112"/>
        <c:axId val="1129690552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Top_Producers!$E$1</c15:sqref>
                        </c15:formulaRef>
                      </c:ext>
                    </c:extLst>
                    <c:strCache>
                      <c:ptCount val="1"/>
                      <c:pt idx="0">
                        <c:v>Num_mines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Top_Producers!$A$2:$B$16</c15:sqref>
                        </c15:fullRef>
                        <c15:levelRef>
                          <c15:sqref>Top_Producers!$A$2:$A$16</c15:sqref>
                        </c15:levelRef>
                        <c15:formulaRef>
                          <c15:sqref>Top_Producers!$A$2:$A$16</c15:sqref>
                        </c15:formulaRef>
                      </c:ext>
                    </c:extLst>
                    <c:strCache>
                      <c:ptCount val="15"/>
                      <c:pt idx="0">
                        <c:v>Australia</c:v>
                      </c:pt>
                      <c:pt idx="1">
                        <c:v>Brazil</c:v>
                      </c:pt>
                      <c:pt idx="2">
                        <c:v>Chile</c:v>
                      </c:pt>
                      <c:pt idx="3">
                        <c:v>Peru</c:v>
                      </c:pt>
                      <c:pt idx="4">
                        <c:v>Mexico</c:v>
                      </c:pt>
                      <c:pt idx="5">
                        <c:v>Australia</c:v>
                      </c:pt>
                      <c:pt idx="6">
                        <c:v>Brazil</c:v>
                      </c:pt>
                      <c:pt idx="7">
                        <c:v>Russian Federation</c:v>
                      </c:pt>
                      <c:pt idx="8">
                        <c:v>United States of America</c:v>
                      </c:pt>
                      <c:pt idx="9">
                        <c:v>United States of America</c:v>
                      </c:pt>
                      <c:pt idx="10">
                        <c:v>Russian Federation</c:v>
                      </c:pt>
                      <c:pt idx="11">
                        <c:v>Peru</c:v>
                      </c:pt>
                      <c:pt idx="12">
                        <c:v>Mexico</c:v>
                      </c:pt>
                      <c:pt idx="13">
                        <c:v>Australia</c:v>
                      </c:pt>
                      <c:pt idx="14">
                        <c:v>Canada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Top_Producers!$E$2:$E$16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28</c:v>
                      </c:pt>
                      <c:pt idx="1">
                        <c:v>18</c:v>
                      </c:pt>
                      <c:pt idx="2">
                        <c:v>15</c:v>
                      </c:pt>
                      <c:pt idx="3">
                        <c:v>8</c:v>
                      </c:pt>
                      <c:pt idx="4">
                        <c:v>5</c:v>
                      </c:pt>
                      <c:pt idx="5">
                        <c:v>34</c:v>
                      </c:pt>
                      <c:pt idx="6">
                        <c:v>9</c:v>
                      </c:pt>
                      <c:pt idx="7">
                        <c:v>13</c:v>
                      </c:pt>
                      <c:pt idx="8">
                        <c:v>14</c:v>
                      </c:pt>
                      <c:pt idx="9">
                        <c:v>8</c:v>
                      </c:pt>
                      <c:pt idx="10">
                        <c:v>3</c:v>
                      </c:pt>
                      <c:pt idx="11">
                        <c:v>14</c:v>
                      </c:pt>
                      <c:pt idx="12">
                        <c:v>12</c:v>
                      </c:pt>
                      <c:pt idx="13">
                        <c:v>3</c:v>
                      </c:pt>
                      <c:pt idx="14">
                        <c:v>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FE7-489C-BBAC-DB274B8B8AF9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1"/>
          <c:order val="1"/>
          <c:tx>
            <c:strRef>
              <c:f>Top_Producers!$D$1</c:f>
              <c:strCache>
                <c:ptCount val="1"/>
                <c:pt idx="0">
                  <c:v>Waste_ratio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l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Top_Producers!$A$2:$B$16</c15:sqref>
                  </c15:fullRef>
                  <c15:levelRef>
                    <c15:sqref>Top_Producers!$A$2:$A$16</c15:sqref>
                  </c15:levelRef>
                </c:ext>
              </c:extLst>
              <c:f>Top_Producers!$A$2:$A$16</c:f>
              <c:strCache>
                <c:ptCount val="15"/>
                <c:pt idx="0">
                  <c:v>Australia</c:v>
                </c:pt>
                <c:pt idx="1">
                  <c:v>Brazil</c:v>
                </c:pt>
                <c:pt idx="2">
                  <c:v>Chile</c:v>
                </c:pt>
                <c:pt idx="3">
                  <c:v>Peru</c:v>
                </c:pt>
                <c:pt idx="4">
                  <c:v>Mexico</c:v>
                </c:pt>
                <c:pt idx="5">
                  <c:v>Australia</c:v>
                </c:pt>
                <c:pt idx="6">
                  <c:v>Brazil</c:v>
                </c:pt>
                <c:pt idx="7">
                  <c:v>Russian Federation</c:v>
                </c:pt>
                <c:pt idx="8">
                  <c:v>United States of America</c:v>
                </c:pt>
                <c:pt idx="9">
                  <c:v>United States of America</c:v>
                </c:pt>
                <c:pt idx="10">
                  <c:v>Russian Federation</c:v>
                </c:pt>
                <c:pt idx="11">
                  <c:v>Peru</c:v>
                </c:pt>
                <c:pt idx="12">
                  <c:v>Mexico</c:v>
                </c:pt>
                <c:pt idx="13">
                  <c:v>Australia</c:v>
                </c:pt>
                <c:pt idx="14">
                  <c:v>Canada</c:v>
                </c:pt>
              </c:strCache>
            </c:strRef>
          </c:cat>
          <c:val>
            <c:numRef>
              <c:f>Top_Producers!$D$2:$D$16</c:f>
              <c:numCache>
                <c:formatCode>General</c:formatCode>
                <c:ptCount val="15"/>
                <c:pt idx="0">
                  <c:v>0.86211352952223785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0.27168571081389231</c:v>
                </c:pt>
                <c:pt idx="6">
                  <c:v>0</c:v>
                </c:pt>
                <c:pt idx="7">
                  <c:v>0</c:v>
                </c:pt>
                <c:pt idx="8">
                  <c:v>1.5738042007424675</c:v>
                </c:pt>
                <c:pt idx="9">
                  <c:v>0.8400354898311978</c:v>
                </c:pt>
                <c:pt idx="10">
                  <c:v>0</c:v>
                </c:pt>
                <c:pt idx="11">
                  <c:v>0.13003321291038905</c:v>
                </c:pt>
                <c:pt idx="12">
                  <c:v>3.4832686529323715</c:v>
                </c:pt>
                <c:pt idx="13">
                  <c:v>0</c:v>
                </c:pt>
                <c:pt idx="14">
                  <c:v>7.5397719645858327E-2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E7-489C-BBAC-DB274B8B8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470728"/>
        <c:axId val="1119470008"/>
      </c:lineChart>
      <c:catAx>
        <c:axId val="1129689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690552"/>
        <c:crosses val="autoZero"/>
        <c:auto val="1"/>
        <c:lblAlgn val="ctr"/>
        <c:lblOffset val="100"/>
        <c:noMultiLvlLbl val="0"/>
      </c:catAx>
      <c:valAx>
        <c:axId val="112969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</a:t>
                </a:r>
                <a:r>
                  <a:rPr lang="en-ZA" baseline="0"/>
                  <a:t> output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689112"/>
        <c:crosses val="autoZero"/>
        <c:crossBetween val="between"/>
      </c:valAx>
      <c:valAx>
        <c:axId val="11194700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Waste </a:t>
                </a:r>
                <a:r>
                  <a:rPr lang="en-ZA" baseline="0"/>
                  <a:t> ratio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70728"/>
        <c:crosses val="max"/>
        <c:crossBetween val="between"/>
      </c:valAx>
      <c:catAx>
        <c:axId val="111947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9470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981075</xdr:colOff>
      <xdr:row>1</xdr:row>
      <xdr:rowOff>85725</xdr:rowOff>
    </xdr:from>
    <xdr:to>
      <xdr:col>9</xdr:col>
      <xdr:colOff>1038225</xdr:colOff>
      <xdr:row>17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E3FC384-70F4-4C29-810E-B5242FC28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dula" refreshedDate="46107.518366666663" backgroundQuery="1" createdVersion="8" refreshedVersion="8" minRefreshableVersion="3" recordCount="15" xr:uid="{A1DEB218-FB37-4021-84ED-73590A705C54}">
  <cacheSource type="external" connectionId="5"/>
  <cacheFields count="5">
    <cacheField name="Country" numFmtId="0">
      <sharedItems count="8">
        <s v="Australia"/>
        <s v="Brazil"/>
        <s v="Chile"/>
        <s v="Peru"/>
        <s v="Mexico"/>
        <s v="Russian Federation"/>
        <s v="United States of America"/>
        <s v="Canada"/>
      </sharedItems>
    </cacheField>
    <cacheField name="Material" numFmtId="0">
      <sharedItems count="5">
        <s v="Iron"/>
        <s v="Copper"/>
        <s v="Gold"/>
        <s v="Nickel"/>
        <s v="Aluminium"/>
      </sharedItems>
    </cacheField>
    <cacheField name="Total_output" numFmtId="0">
      <sharedItems containsSemiMixedTypes="0" containsString="0" containsNumber="1" containsInteger="1" minValue="2046766178" maxValue="77016459733" count="15">
        <n v="77016459733"/>
        <n v="27064424000"/>
        <n v="18000078400"/>
        <n v="5387678876"/>
        <n v="5179107383"/>
        <n v="5042587590"/>
        <n v="4702990589"/>
        <n v="4675744757"/>
        <n v="4491067623"/>
        <n v="4251955505"/>
        <n v="3239286496"/>
        <n v="2279360542"/>
        <n v="2196644642"/>
        <n v="2168748000"/>
        <n v="2046766178"/>
      </sharedItems>
    </cacheField>
    <cacheField name="Waste_ratio" numFmtId="0">
      <sharedItems containsSemiMixedTypes="0" containsString="0" containsNumber="1" minValue="0" maxValue="3.4832686529323715" count="8">
        <n v="0.86211352952223785"/>
        <n v="0"/>
        <n v="0.27168571081389231"/>
        <n v="1.5738042007424675"/>
        <n v="0.8400354898311978"/>
        <n v="0.13003321291038905"/>
        <n v="3.4832686529323715"/>
        <n v="7.5397719645858327E-2"/>
      </sharedItems>
    </cacheField>
    <cacheField name="Num_mines" numFmtId="0">
      <sharedItems containsSemiMixedTypes="0" containsString="0" containsNumber="1" containsInteger="1" minValue="3" maxValue="34" count="12">
        <n v="28"/>
        <n v="18"/>
        <n v="15"/>
        <n v="8"/>
        <n v="5"/>
        <n v="34"/>
        <n v="9"/>
        <n v="13"/>
        <n v="14"/>
        <n v="3"/>
        <n v="12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dula" refreshedDate="46107.54567673611" backgroundQuery="1" createdVersion="8" refreshedVersion="8" minRefreshableVersion="3" recordCount="20" xr:uid="{2A520126-3F02-4898-975B-A6AB12BAB31D}">
  <cacheSource type="external" connectionId="2"/>
  <cacheFields count="7">
    <cacheField name="Mine_id" numFmtId="0">
      <sharedItems count="5">
        <s v="COM01015.00"/>
        <s v="COM00827.00"/>
        <s v="COM00051.00"/>
        <s v="COM00587.00"/>
        <s v="COM00104.00"/>
      </sharedItems>
    </cacheField>
    <cacheField name="Facility_name" numFmtId="0">
      <sharedItems count="5">
        <s v="Prominent Hill"/>
        <s v="Minto"/>
        <s v="Antas"/>
        <s v="Jacinth-Ambrosia"/>
        <s v="Batu Hijau"/>
      </sharedItems>
    </cacheField>
    <cacheField name="Country" numFmtId="0">
      <sharedItems count="4">
        <s v="Australia"/>
        <s v="Canada"/>
        <s v="Brazil"/>
        <s v="Indonesia"/>
      </sharedItems>
    </cacheField>
    <cacheField name="Material" numFmtId="0">
      <sharedItems count="2">
        <s v="Copper"/>
        <s v="Iron"/>
      </sharedItems>
    </cacheField>
    <cacheField name="Waste_ratio" numFmtId="0">
      <sharedItems containsSemiMixedTypes="0" containsString="0" containsNumber="1" minValue="144.64045078782462" maxValue="698.03128621089229" count="19">
        <n v="698.03128621089229"/>
        <n v="508.57196716957418"/>
        <n v="495.64528899445759"/>
        <n v="384.98332190868973"/>
        <n v="360.80131946331943"/>
        <n v="282.45154608887259"/>
        <n v="241.8663532633087"/>
        <n v="227.17960045264624"/>
        <n v="225.80199433479953"/>
        <n v="218.07437719219351"/>
        <n v="216.03221839093371"/>
        <n v="211.120625066895"/>
        <n v="209.40327840528693"/>
        <n v="185.9664734477056"/>
        <n v="168.82999163682371"/>
        <n v="157.49981184616539"/>
        <n v="152.61960784313726"/>
        <n v="148.54823041726956"/>
        <n v="144.64045078782462"/>
      </sharedItems>
    </cacheField>
    <cacheField name="Production_tonnes" numFmtId="0">
      <sharedItems containsSemiMixedTypes="0" containsString="0" containsNumber="1" containsInteger="1" minValue="863" maxValue="1223813" count="19">
        <n v="863"/>
        <n v="154369"/>
        <n v="12630"/>
        <n v="176519"/>
        <n v="202355"/>
        <n v="204225"/>
        <n v="220589"/>
        <n v="45952"/>
        <n v="43423"/>
        <n v="22238"/>
        <n v="178066"/>
        <n v="37372"/>
        <n v="46303"/>
        <n v="59863"/>
        <n v="46633"/>
        <n v="53148"/>
        <n v="10200"/>
        <n v="255710"/>
        <n v="1223813"/>
      </sharedItems>
    </cacheField>
    <cacheField name="Risk_level" numFmtId="0">
      <sharedItems count="1"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x v="0"/>
  </r>
  <r>
    <x v="1"/>
    <x v="0"/>
    <x v="1"/>
    <x v="1"/>
    <x v="1"/>
  </r>
  <r>
    <x v="2"/>
    <x v="1"/>
    <x v="2"/>
    <x v="1"/>
    <x v="2"/>
  </r>
  <r>
    <x v="3"/>
    <x v="1"/>
    <x v="3"/>
    <x v="1"/>
    <x v="3"/>
  </r>
  <r>
    <x v="4"/>
    <x v="1"/>
    <x v="4"/>
    <x v="1"/>
    <x v="4"/>
  </r>
  <r>
    <x v="0"/>
    <x v="2"/>
    <x v="5"/>
    <x v="2"/>
    <x v="5"/>
  </r>
  <r>
    <x v="1"/>
    <x v="2"/>
    <x v="6"/>
    <x v="1"/>
    <x v="6"/>
  </r>
  <r>
    <x v="5"/>
    <x v="0"/>
    <x v="7"/>
    <x v="1"/>
    <x v="7"/>
  </r>
  <r>
    <x v="6"/>
    <x v="2"/>
    <x v="8"/>
    <x v="3"/>
    <x v="8"/>
  </r>
  <r>
    <x v="6"/>
    <x v="1"/>
    <x v="9"/>
    <x v="4"/>
    <x v="3"/>
  </r>
  <r>
    <x v="5"/>
    <x v="3"/>
    <x v="10"/>
    <x v="1"/>
    <x v="9"/>
  </r>
  <r>
    <x v="3"/>
    <x v="2"/>
    <x v="11"/>
    <x v="5"/>
    <x v="8"/>
  </r>
  <r>
    <x v="4"/>
    <x v="2"/>
    <x v="12"/>
    <x v="6"/>
    <x v="10"/>
  </r>
  <r>
    <x v="0"/>
    <x v="4"/>
    <x v="13"/>
    <x v="1"/>
    <x v="9"/>
  </r>
  <r>
    <x v="7"/>
    <x v="0"/>
    <x v="14"/>
    <x v="7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x v="0"/>
    <x v="0"/>
    <x v="0"/>
    <x v="0"/>
  </r>
  <r>
    <x v="0"/>
    <x v="0"/>
    <x v="0"/>
    <x v="0"/>
    <x v="1"/>
    <x v="1"/>
    <x v="0"/>
  </r>
  <r>
    <x v="1"/>
    <x v="1"/>
    <x v="1"/>
    <x v="0"/>
    <x v="2"/>
    <x v="2"/>
    <x v="0"/>
  </r>
  <r>
    <x v="0"/>
    <x v="0"/>
    <x v="0"/>
    <x v="0"/>
    <x v="3"/>
    <x v="3"/>
    <x v="0"/>
  </r>
  <r>
    <x v="0"/>
    <x v="0"/>
    <x v="0"/>
    <x v="0"/>
    <x v="4"/>
    <x v="4"/>
    <x v="0"/>
  </r>
  <r>
    <x v="0"/>
    <x v="0"/>
    <x v="0"/>
    <x v="0"/>
    <x v="5"/>
    <x v="5"/>
    <x v="0"/>
  </r>
  <r>
    <x v="0"/>
    <x v="0"/>
    <x v="0"/>
    <x v="0"/>
    <x v="6"/>
    <x v="6"/>
    <x v="0"/>
  </r>
  <r>
    <x v="1"/>
    <x v="1"/>
    <x v="1"/>
    <x v="0"/>
    <x v="7"/>
    <x v="7"/>
    <x v="0"/>
  </r>
  <r>
    <x v="1"/>
    <x v="1"/>
    <x v="1"/>
    <x v="0"/>
    <x v="8"/>
    <x v="8"/>
    <x v="0"/>
  </r>
  <r>
    <x v="2"/>
    <x v="2"/>
    <x v="2"/>
    <x v="0"/>
    <x v="9"/>
    <x v="9"/>
    <x v="0"/>
  </r>
  <r>
    <x v="0"/>
    <x v="0"/>
    <x v="0"/>
    <x v="0"/>
    <x v="10"/>
    <x v="10"/>
    <x v="0"/>
  </r>
  <r>
    <x v="1"/>
    <x v="1"/>
    <x v="1"/>
    <x v="0"/>
    <x v="11"/>
    <x v="11"/>
    <x v="0"/>
  </r>
  <r>
    <x v="1"/>
    <x v="1"/>
    <x v="1"/>
    <x v="0"/>
    <x v="12"/>
    <x v="12"/>
    <x v="0"/>
  </r>
  <r>
    <x v="1"/>
    <x v="1"/>
    <x v="1"/>
    <x v="0"/>
    <x v="13"/>
    <x v="13"/>
    <x v="0"/>
  </r>
  <r>
    <x v="1"/>
    <x v="1"/>
    <x v="1"/>
    <x v="0"/>
    <x v="14"/>
    <x v="14"/>
    <x v="0"/>
  </r>
  <r>
    <x v="1"/>
    <x v="1"/>
    <x v="1"/>
    <x v="0"/>
    <x v="15"/>
    <x v="15"/>
    <x v="0"/>
  </r>
  <r>
    <x v="3"/>
    <x v="3"/>
    <x v="0"/>
    <x v="1"/>
    <x v="16"/>
    <x v="16"/>
    <x v="0"/>
  </r>
  <r>
    <x v="3"/>
    <x v="3"/>
    <x v="0"/>
    <x v="1"/>
    <x v="16"/>
    <x v="16"/>
    <x v="0"/>
  </r>
  <r>
    <x v="0"/>
    <x v="0"/>
    <x v="0"/>
    <x v="0"/>
    <x v="17"/>
    <x v="17"/>
    <x v="0"/>
  </r>
  <r>
    <x v="4"/>
    <x v="4"/>
    <x v="3"/>
    <x v="0"/>
    <x v="18"/>
    <x v="1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6944A-BE5B-4E84-B403-37EA3E3F9867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24:C29" firstHeaderRow="0" firstDataRow="1" firstDataCol="1"/>
  <pivotFields count="7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duction (ton)" fld="5" baseField="2" baseItem="0"/>
    <dataField name="Total Waste_ratio" fld="4" baseField="2" baseItem="0"/>
  </dataFields>
  <pivotTableStyleInfo name="PivotStyleLight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17C4C-C280-4E33-825E-9AB6C5AB6FEA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21:M32" firstHeaderRow="1" firstDataRow="3" firstDataCol="1"/>
  <pivotFields count="5">
    <pivotField axis="axisRow" showAll="0">
      <items count="9">
        <item x="0"/>
        <item x="1"/>
        <item x="7"/>
        <item x="2"/>
        <item x="4"/>
        <item x="3"/>
        <item x="5"/>
        <item x="6"/>
        <item t="default"/>
      </items>
    </pivotField>
    <pivotField axis="axisCol" showAll="0">
      <items count="6">
        <item x="4"/>
        <item x="1"/>
        <item x="2"/>
        <item x="0"/>
        <item x="3"/>
        <item t="default"/>
      </items>
    </pivotField>
    <pivotField dataField="1" showAll="0"/>
    <pivotField dataField="1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1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Avgerage Waste_ratio" fld="3" subtotal="average" baseField="0" baseItem="0"/>
    <dataField name="Sum of Total_output" fld="2" baseField="0" baseItem="0"/>
  </dataFields>
  <formats count="42">
    <format dxfId="41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40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39">
      <pivotArea dataOnly="0" labelOnly="1" outline="0" fieldPosition="0">
        <references count="2">
          <reference field="4294967294" count="1">
            <x v="1"/>
          </reference>
          <reference field="1" count="1" selected="0">
            <x v="0"/>
          </reference>
        </references>
      </pivotArea>
    </format>
    <format dxfId="38">
      <pivotArea dataOnly="0" labelOnly="1" outline="0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37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format>
    <format dxfId="36">
      <pivotArea type="topRight" dataOnly="0" labelOnly="1" outline="0" offset="C1" fieldPosition="0"/>
    </format>
    <format dxfId="35">
      <pivotArea dataOnly="0" labelOnly="1" offset="A256" fieldPosition="0">
        <references count="1">
          <reference field="1" count="1">
            <x v="2"/>
          </reference>
        </references>
      </pivotArea>
    </format>
    <format dxfId="34">
      <pivotArea dataOnly="0" labelOnly="1" outline="0" fieldPosition="0">
        <references count="2">
          <reference field="4294967294" count="1">
            <x v="0"/>
          </reference>
          <reference field="1" count="1" selected="0">
            <x v="2"/>
          </reference>
        </references>
      </pivotArea>
    </format>
    <format dxfId="33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format>
    <format dxfId="32">
      <pivotArea type="topRight" dataOnly="0" labelOnly="1" outline="0" offset="E1" fieldPosition="0"/>
    </format>
    <format dxfId="31">
      <pivotArea dataOnly="0" labelOnly="1" offset="A256" fieldPosition="0">
        <references count="1">
          <reference field="1" count="1">
            <x v="3"/>
          </reference>
        </references>
      </pivotArea>
    </format>
    <format dxfId="30">
      <pivotArea dataOnly="0" labelOnly="1" outline="0" fieldPosition="0">
        <references count="2">
          <reference field="4294967294" count="1">
            <x v="0"/>
          </reference>
          <reference field="1" count="1" selected="0">
            <x v="3"/>
          </reference>
        </references>
      </pivotArea>
    </format>
    <format dxfId="29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format>
    <format dxfId="28">
      <pivotArea type="topRight" dataOnly="0" labelOnly="1" outline="0" offset="G1" fieldPosition="0"/>
    </format>
    <format dxfId="27">
      <pivotArea dataOnly="0" labelOnly="1" offset="A256" fieldPosition="0">
        <references count="1">
          <reference field="1" count="1">
            <x v="4"/>
          </reference>
        </references>
      </pivotArea>
    </format>
    <format dxfId="26">
      <pivotArea dataOnly="0" labelOnly="1" outline="0" fieldPosition="0">
        <references count="2">
          <reference field="4294967294" count="1">
            <x v="0"/>
          </reference>
          <reference field="1" count="1" selected="0">
            <x v="4"/>
          </reference>
        </references>
      </pivotArea>
    </format>
    <format dxfId="25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format>
    <format dxfId="24">
      <pivotArea type="topRight" dataOnly="0" labelOnly="1" outline="0" offset="H1" fieldPosition="0"/>
    </format>
    <format dxfId="23">
      <pivotArea dataOnly="0" labelOnly="1" offset="IV256" fieldPosition="0">
        <references count="1">
          <reference field="1" count="1">
            <x v="4"/>
          </reference>
        </references>
      </pivotArea>
    </format>
    <format dxfId="22">
      <pivotArea dataOnly="0" labelOnly="1" outline="0" fieldPosition="0">
        <references count="2">
          <reference field="4294967294" count="1">
            <x v="1"/>
          </reference>
          <reference field="1" count="1" selected="0">
            <x v="4"/>
          </reference>
        </references>
      </pivotArea>
    </format>
    <format dxfId="21">
      <pivotArea field="1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20">
      <pivotArea type="topRight" dataOnly="0" labelOnly="1" outline="0" offset="I1" fieldPosition="0"/>
    </format>
    <format dxfId="19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">
      <pivotArea field="-2" type="button" dataOnly="0" labelOnly="1" outline="0" axis="axisCol" fieldPosition="1"/>
    </format>
    <format dxfId="16">
      <pivotArea type="topRight" dataOnly="0" labelOnly="1" outline="0" offset="A1" fieldPosition="0"/>
    </format>
    <format dxfId="15">
      <pivotArea dataOnly="0" labelOnly="1" offset="IV256" fieldPosition="0">
        <references count="1">
          <reference field="1" count="1">
            <x v="0"/>
          </reference>
        </references>
      </pivotArea>
    </format>
    <format dxfId="14">
      <pivotArea dataOnly="0" labelOnly="1" offset="A256" fieldPosition="0">
        <references count="1">
          <reference field="1" count="1">
            <x v="1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0"/>
          </reference>
          <reference field="0" count="0"/>
          <reference field="1" count="1" selected="0">
            <x v="1"/>
          </reference>
        </references>
      </pivotArea>
    </format>
    <format dxfId="12">
      <pivotArea type="topRight" dataOnly="0" labelOnly="1" outline="0" offset="A1" fieldPosition="0"/>
    </format>
    <format dxfId="11">
      <pivotArea dataOnly="0" labelOnly="1" offset="A256" fieldPosition="0">
        <references count="1">
          <reference field="1" count="1">
            <x v="1"/>
          </reference>
        </references>
      </pivotArea>
    </format>
    <format dxfId="10">
      <pivotArea dataOnly="0" labelOnly="1" outline="0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9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format>
    <format dxfId="8">
      <pivotArea field="1" type="button" dataOnly="0" labelOnly="1" outline="0" axis="axisCol" fieldPosition="0"/>
    </format>
    <format dxfId="7">
      <pivotArea dataOnly="0" labelOnly="1" offset="A256" fieldPosition="0">
        <references count="1">
          <reference field="1" count="1">
            <x v="0"/>
          </reference>
        </references>
      </pivotArea>
    </format>
    <format dxfId="6">
      <pivotArea dataOnly="0" labelOnly="1" outline="0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5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4">
      <pivotArea dataOnly="0" labelOnly="1" outline="0" fieldPosition="0">
        <references count="2">
          <reference field="4294967294" count="1">
            <x v="1"/>
          </reference>
          <reference field="1" count="1" selected="0">
            <x v="1"/>
          </reference>
        </references>
      </pivotArea>
    </format>
    <format dxfId="3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format>
    <format dxfId="2">
      <pivotArea dataOnly="0" labelOnly="1" outline="0" fieldPosition="0">
        <references count="2">
          <reference field="4294967294" count="1">
            <x v="1"/>
          </reference>
          <reference field="1" count="1" selected="0">
            <x v="2"/>
          </reference>
        </references>
      </pivotArea>
    </format>
    <format dxfId="1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format>
    <format dxfId="0">
      <pivotArea dataOnly="0" labelOnly="1" outline="0" fieldPosition="0">
        <references count="2">
          <reference field="4294967294" count="1">
            <x v="1"/>
          </reference>
          <reference field="1" count="1" selected="0">
            <x v="3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8E4E2E8-B099-45F1-B44E-D12CF7CD3C69}" autoFormatId="16" applyNumberFormats="0" applyBorderFormats="0" applyFontFormats="0" applyPatternFormats="0" applyAlignmentFormats="0" applyWidthHeightFormats="0">
  <queryTableRefresh nextId="15">
    <queryTableFields count="7">
      <queryTableField id="8" name="Mine_id" tableColumnId="8"/>
      <queryTableField id="9" name="Facility_name" tableColumnId="9"/>
      <queryTableField id="10" name="Country" tableColumnId="10"/>
      <queryTableField id="11" name="Material" tableColumnId="11"/>
      <queryTableField id="12" name="Waste_ratio" tableColumnId="12"/>
      <queryTableField id="13" name="Production_tonnes" tableColumnId="13"/>
      <queryTableField id="14" name="Risk_level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BA24C34-7561-4E42-BC46-D2DB67D74059}" autoFormatId="16" applyNumberFormats="0" applyBorderFormats="0" applyFontFormats="0" applyPatternFormats="0" applyAlignmentFormats="0" applyWidthHeightFormats="0">
  <queryTableRefresh nextId="11">
    <queryTableFields count="5">
      <queryTableField id="6" name="Country" tableColumnId="6"/>
      <queryTableField id="7" name="Material" tableColumnId="7"/>
      <queryTableField id="8" name="Total_output" tableColumnId="8"/>
      <queryTableField id="9" name="Waste_ratio" tableColumnId="9"/>
      <queryTableField id="10" name="Num_min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2799BD-0037-4AEC-A7CC-CF222970FDEA}" name="High_Risk_Mines" displayName="High_Risk_Mines" ref="A1:G21" tableType="queryTable" totalsRowShown="0">
  <autoFilter ref="A1:G21" xr:uid="{6C2799BD-0037-4AEC-A7CC-CF222970FDEA}"/>
  <tableColumns count="7">
    <tableColumn id="8" xr3:uid="{EB04592F-3503-4704-AE93-4F454B7E4C99}" uniqueName="8" name="Mine_id" queryTableFieldId="8"/>
    <tableColumn id="9" xr3:uid="{5C566EEF-8A73-4CBF-830D-DD4E5D0CBE95}" uniqueName="9" name="Facility_name" queryTableFieldId="9"/>
    <tableColumn id="10" xr3:uid="{D945A33C-5BE3-4BDC-9B3B-D34145033BDA}" uniqueName="10" name="Country" queryTableFieldId="10"/>
    <tableColumn id="11" xr3:uid="{E71F3B2C-72D1-4FBB-8D3D-BE2F51C654EB}" uniqueName="11" name="Material" queryTableFieldId="11"/>
    <tableColumn id="12" xr3:uid="{4AA34F35-9DF6-4ECE-A855-72753CF67429}" uniqueName="12" name="Waste_ratio" queryTableFieldId="12"/>
    <tableColumn id="13" xr3:uid="{0761DAAD-DB16-4BC6-9DA0-C1885D798B00}" uniqueName="13" name="Production_tonnes" queryTableFieldId="13"/>
    <tableColumn id="14" xr3:uid="{B31B6776-E1AB-4077-8FA1-5B834C8BA104}" uniqueName="14" name="Risk_level" queryTableFieldId="14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52EBDE-77B9-47D5-A67E-E22C8C9193C0}" name="Top_Producers" displayName="Top_Producers" ref="A1:E16" tableType="queryTable" totalsRowShown="0">
  <autoFilter ref="A1:E16" xr:uid="{7C52EBDE-77B9-47D5-A67E-E22C8C9193C0}"/>
  <tableColumns count="5">
    <tableColumn id="6" xr3:uid="{B904BB8A-A436-4F57-BB5C-B3ABD11BD435}" uniqueName="6" name="Country" queryTableFieldId="6"/>
    <tableColumn id="7" xr3:uid="{3DB3DAAD-29B9-42FB-84A0-FF5E7760BEDD}" uniqueName="7" name="Material" queryTableFieldId="7"/>
    <tableColumn id="8" xr3:uid="{ABB946E1-AAE0-4A84-AD6E-B212D73B0AF6}" uniqueName="8" name="Total_output" queryTableFieldId="8"/>
    <tableColumn id="9" xr3:uid="{208E8386-CE78-4F4A-82EB-C93AD95D1255}" uniqueName="9" name="Waste_ratio" queryTableFieldId="9"/>
    <tableColumn id="10" xr3:uid="{CCC19942-2CE0-4CA1-8B3F-D4CDA16436C0}" uniqueName="10" name="Num_mines" queryTableFieldId="1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F055-9F60-41C2-9B92-E44F852286EC}">
  <dimension ref="A1:G29"/>
  <sheetViews>
    <sheetView tabSelected="1" workbookViewId="0">
      <selection activeCell="I12" sqref="I12"/>
    </sheetView>
  </sheetViews>
  <sheetFormatPr defaultRowHeight="15" x14ac:dyDescent="0.25"/>
  <cols>
    <col min="1" max="1" width="13.42578125" bestFit="1" customWidth="1"/>
    <col min="2" max="2" width="20.85546875" bestFit="1" customWidth="1"/>
    <col min="3" max="3" width="16.7109375" bestFit="1" customWidth="1"/>
    <col min="4" max="4" width="10.5703125" bestFit="1" customWidth="1"/>
    <col min="5" max="5" width="14" bestFit="1" customWidth="1"/>
    <col min="6" max="6" width="20.5703125" bestFit="1" customWidth="1"/>
    <col min="7" max="7" width="12.42578125" bestFit="1" customWidth="1"/>
    <col min="8" max="8" width="12" bestFit="1" customWidth="1"/>
    <col min="9" max="9" width="16.5703125" bestFit="1" customWidth="1"/>
    <col min="10" max="10" width="12" bestFit="1" customWidth="1"/>
    <col min="11" max="11" width="14.140625" bestFit="1" customWidth="1"/>
    <col min="12" max="12" width="30.28515625" bestFit="1" customWidth="1"/>
    <col min="13" max="13" width="23.7109375" bestFit="1" customWidth="1"/>
    <col min="14" max="19" width="16.85546875" bestFit="1" customWidth="1"/>
    <col min="20" max="20" width="11.28515625" bestFit="1" customWidth="1"/>
    <col min="21" max="21" width="12.5703125" bestFit="1" customWidth="1"/>
    <col min="22" max="22" width="11.7109375" bestFit="1" customWidth="1"/>
    <col min="23" max="23" width="14.85546875" bestFit="1" customWidth="1"/>
    <col min="24" max="25" width="11.28515625" bestFit="1" customWidth="1"/>
  </cols>
  <sheetData>
    <row r="1" spans="1:7" x14ac:dyDescent="0.25">
      <c r="A1" t="s">
        <v>33</v>
      </c>
      <c r="B1" t="s">
        <v>34</v>
      </c>
      <c r="C1" t="s">
        <v>28</v>
      </c>
      <c r="D1" t="s">
        <v>29</v>
      </c>
      <c r="E1" t="s">
        <v>31</v>
      </c>
      <c r="F1" t="s">
        <v>35</v>
      </c>
      <c r="G1" t="s">
        <v>36</v>
      </c>
    </row>
    <row r="2" spans="1:7" x14ac:dyDescent="0.25">
      <c r="A2" t="s">
        <v>13</v>
      </c>
      <c r="B2" t="s">
        <v>14</v>
      </c>
      <c r="C2" t="s">
        <v>0</v>
      </c>
      <c r="D2" t="s">
        <v>4</v>
      </c>
      <c r="E2">
        <v>698.03128621089229</v>
      </c>
      <c r="F2">
        <v>863</v>
      </c>
      <c r="G2" t="s">
        <v>15</v>
      </c>
    </row>
    <row r="3" spans="1:7" x14ac:dyDescent="0.25">
      <c r="A3" t="s">
        <v>13</v>
      </c>
      <c r="B3" t="s">
        <v>14</v>
      </c>
      <c r="C3" t="s">
        <v>0</v>
      </c>
      <c r="D3" t="s">
        <v>4</v>
      </c>
      <c r="E3">
        <v>508.57196716957418</v>
      </c>
      <c r="F3">
        <v>154369</v>
      </c>
      <c r="G3" t="s">
        <v>15</v>
      </c>
    </row>
    <row r="4" spans="1:7" x14ac:dyDescent="0.25">
      <c r="A4" t="s">
        <v>16</v>
      </c>
      <c r="B4" t="s">
        <v>17</v>
      </c>
      <c r="C4" t="s">
        <v>12</v>
      </c>
      <c r="D4" t="s">
        <v>4</v>
      </c>
      <c r="E4">
        <v>495.64528899445759</v>
      </c>
      <c r="F4">
        <v>12630</v>
      </c>
      <c r="G4" t="s">
        <v>15</v>
      </c>
    </row>
    <row r="5" spans="1:7" x14ac:dyDescent="0.25">
      <c r="A5" t="s">
        <v>13</v>
      </c>
      <c r="B5" t="s">
        <v>14</v>
      </c>
      <c r="C5" t="s">
        <v>0</v>
      </c>
      <c r="D5" t="s">
        <v>4</v>
      </c>
      <c r="E5">
        <v>384.98332190868973</v>
      </c>
      <c r="F5">
        <v>176519</v>
      </c>
      <c r="G5" t="s">
        <v>15</v>
      </c>
    </row>
    <row r="6" spans="1:7" x14ac:dyDescent="0.25">
      <c r="A6" t="s">
        <v>13</v>
      </c>
      <c r="B6" t="s">
        <v>14</v>
      </c>
      <c r="C6" t="s">
        <v>0</v>
      </c>
      <c r="D6" t="s">
        <v>4</v>
      </c>
      <c r="E6">
        <v>360.80131946331943</v>
      </c>
      <c r="F6">
        <v>202355</v>
      </c>
      <c r="G6" t="s">
        <v>15</v>
      </c>
    </row>
    <row r="7" spans="1:7" x14ac:dyDescent="0.25">
      <c r="A7" t="s">
        <v>13</v>
      </c>
      <c r="B7" t="s">
        <v>14</v>
      </c>
      <c r="C7" t="s">
        <v>0</v>
      </c>
      <c r="D7" t="s">
        <v>4</v>
      </c>
      <c r="E7">
        <v>282.45154608887259</v>
      </c>
      <c r="F7">
        <v>204225</v>
      </c>
      <c r="G7" t="s">
        <v>15</v>
      </c>
    </row>
    <row r="8" spans="1:7" x14ac:dyDescent="0.25">
      <c r="A8" t="s">
        <v>13</v>
      </c>
      <c r="B8" t="s">
        <v>14</v>
      </c>
      <c r="C8" t="s">
        <v>0</v>
      </c>
      <c r="D8" t="s">
        <v>4</v>
      </c>
      <c r="E8">
        <v>241.8663532633087</v>
      </c>
      <c r="F8">
        <v>220589</v>
      </c>
      <c r="G8" t="s">
        <v>15</v>
      </c>
    </row>
    <row r="9" spans="1:7" x14ac:dyDescent="0.25">
      <c r="A9" t="s">
        <v>16</v>
      </c>
      <c r="B9" t="s">
        <v>17</v>
      </c>
      <c r="C9" t="s">
        <v>12</v>
      </c>
      <c r="D9" t="s">
        <v>4</v>
      </c>
      <c r="E9">
        <v>227.17960045264624</v>
      </c>
      <c r="F9">
        <v>45952</v>
      </c>
      <c r="G9" t="s">
        <v>15</v>
      </c>
    </row>
    <row r="10" spans="1:7" x14ac:dyDescent="0.25">
      <c r="A10" t="s">
        <v>16</v>
      </c>
      <c r="B10" t="s">
        <v>17</v>
      </c>
      <c r="C10" t="s">
        <v>12</v>
      </c>
      <c r="D10" t="s">
        <v>4</v>
      </c>
      <c r="E10">
        <v>225.80199433479953</v>
      </c>
      <c r="F10">
        <v>43423</v>
      </c>
      <c r="G10" t="s">
        <v>15</v>
      </c>
    </row>
    <row r="11" spans="1:7" x14ac:dyDescent="0.25">
      <c r="A11" t="s">
        <v>18</v>
      </c>
      <c r="B11" t="s">
        <v>19</v>
      </c>
      <c r="C11" t="s">
        <v>2</v>
      </c>
      <c r="D11" t="s">
        <v>4</v>
      </c>
      <c r="E11">
        <v>218.07437719219351</v>
      </c>
      <c r="F11">
        <v>22238</v>
      </c>
      <c r="G11" t="s">
        <v>15</v>
      </c>
    </row>
    <row r="12" spans="1:7" x14ac:dyDescent="0.25">
      <c r="A12" t="s">
        <v>13</v>
      </c>
      <c r="B12" t="s">
        <v>14</v>
      </c>
      <c r="C12" t="s">
        <v>0</v>
      </c>
      <c r="D12" t="s">
        <v>4</v>
      </c>
      <c r="E12">
        <v>216.03221839093371</v>
      </c>
      <c r="F12">
        <v>178066</v>
      </c>
      <c r="G12" t="s">
        <v>15</v>
      </c>
    </row>
    <row r="13" spans="1:7" x14ac:dyDescent="0.25">
      <c r="A13" t="s">
        <v>16</v>
      </c>
      <c r="B13" t="s">
        <v>17</v>
      </c>
      <c r="C13" t="s">
        <v>12</v>
      </c>
      <c r="D13" t="s">
        <v>4</v>
      </c>
      <c r="E13">
        <v>211.120625066895</v>
      </c>
      <c r="F13">
        <v>37372</v>
      </c>
      <c r="G13" t="s">
        <v>15</v>
      </c>
    </row>
    <row r="14" spans="1:7" x14ac:dyDescent="0.25">
      <c r="A14" t="s">
        <v>16</v>
      </c>
      <c r="B14" t="s">
        <v>17</v>
      </c>
      <c r="C14" t="s">
        <v>12</v>
      </c>
      <c r="D14" t="s">
        <v>4</v>
      </c>
      <c r="E14">
        <v>209.40327840528693</v>
      </c>
      <c r="F14">
        <v>46303</v>
      </c>
      <c r="G14" t="s">
        <v>15</v>
      </c>
    </row>
    <row r="15" spans="1:7" x14ac:dyDescent="0.25">
      <c r="A15" t="s">
        <v>16</v>
      </c>
      <c r="B15" t="s">
        <v>17</v>
      </c>
      <c r="C15" t="s">
        <v>12</v>
      </c>
      <c r="D15" t="s">
        <v>4</v>
      </c>
      <c r="E15">
        <v>185.9664734477056</v>
      </c>
      <c r="F15">
        <v>59863</v>
      </c>
      <c r="G15" t="s">
        <v>15</v>
      </c>
    </row>
    <row r="16" spans="1:7" x14ac:dyDescent="0.25">
      <c r="A16" t="s">
        <v>16</v>
      </c>
      <c r="B16" t="s">
        <v>17</v>
      </c>
      <c r="C16" t="s">
        <v>12</v>
      </c>
      <c r="D16" t="s">
        <v>4</v>
      </c>
      <c r="E16">
        <v>168.82999163682371</v>
      </c>
      <c r="F16">
        <v>46633</v>
      </c>
      <c r="G16" t="s">
        <v>15</v>
      </c>
    </row>
    <row r="17" spans="1:7" x14ac:dyDescent="0.25">
      <c r="A17" t="s">
        <v>16</v>
      </c>
      <c r="B17" t="s">
        <v>17</v>
      </c>
      <c r="C17" t="s">
        <v>12</v>
      </c>
      <c r="D17" t="s">
        <v>4</v>
      </c>
      <c r="E17">
        <v>157.49981184616539</v>
      </c>
      <c r="F17">
        <v>53148</v>
      </c>
      <c r="G17" t="s">
        <v>15</v>
      </c>
    </row>
    <row r="18" spans="1:7" x14ac:dyDescent="0.25">
      <c r="A18" t="s">
        <v>20</v>
      </c>
      <c r="B18" t="s">
        <v>21</v>
      </c>
      <c r="C18" t="s">
        <v>0</v>
      </c>
      <c r="D18" t="s">
        <v>1</v>
      </c>
      <c r="E18">
        <v>152.61960784313726</v>
      </c>
      <c r="F18">
        <v>10200</v>
      </c>
      <c r="G18" t="s">
        <v>15</v>
      </c>
    </row>
    <row r="19" spans="1:7" x14ac:dyDescent="0.25">
      <c r="A19" t="s">
        <v>20</v>
      </c>
      <c r="B19" t="s">
        <v>21</v>
      </c>
      <c r="C19" t="s">
        <v>0</v>
      </c>
      <c r="D19" t="s">
        <v>1</v>
      </c>
      <c r="E19">
        <v>152.61960784313726</v>
      </c>
      <c r="F19">
        <v>10200</v>
      </c>
      <c r="G19" t="s">
        <v>15</v>
      </c>
    </row>
    <row r="20" spans="1:7" x14ac:dyDescent="0.25">
      <c r="A20" t="s">
        <v>13</v>
      </c>
      <c r="B20" t="s">
        <v>14</v>
      </c>
      <c r="C20" t="s">
        <v>0</v>
      </c>
      <c r="D20" t="s">
        <v>4</v>
      </c>
      <c r="E20">
        <v>148.54823041726956</v>
      </c>
      <c r="F20">
        <v>255710</v>
      </c>
      <c r="G20" t="s">
        <v>15</v>
      </c>
    </row>
    <row r="21" spans="1:7" x14ac:dyDescent="0.25">
      <c r="A21" t="s">
        <v>22</v>
      </c>
      <c r="B21" t="s">
        <v>23</v>
      </c>
      <c r="C21" t="s">
        <v>24</v>
      </c>
      <c r="D21" t="s">
        <v>4</v>
      </c>
      <c r="E21">
        <v>144.64045078782462</v>
      </c>
      <c r="F21">
        <v>1223813</v>
      </c>
      <c r="G21" t="s">
        <v>15</v>
      </c>
    </row>
    <row r="24" spans="1:7" x14ac:dyDescent="0.25">
      <c r="A24" s="1" t="s">
        <v>25</v>
      </c>
      <c r="B24" t="s">
        <v>41</v>
      </c>
      <c r="C24" t="s">
        <v>42</v>
      </c>
    </row>
    <row r="25" spans="1:7" x14ac:dyDescent="0.25">
      <c r="A25" s="2" t="s">
        <v>0</v>
      </c>
      <c r="B25" s="3">
        <v>1413096</v>
      </c>
      <c r="C25" s="3">
        <v>3146.5254585991347</v>
      </c>
    </row>
    <row r="26" spans="1:7" x14ac:dyDescent="0.25">
      <c r="A26" s="2" t="s">
        <v>2</v>
      </c>
      <c r="B26" s="3">
        <v>22238</v>
      </c>
      <c r="C26" s="3">
        <v>218.07437719219351</v>
      </c>
    </row>
    <row r="27" spans="1:7" x14ac:dyDescent="0.25">
      <c r="A27" s="2" t="s">
        <v>12</v>
      </c>
      <c r="B27" s="3">
        <v>345324</v>
      </c>
      <c r="C27" s="3">
        <v>1881.4470641847799</v>
      </c>
    </row>
    <row r="28" spans="1:7" x14ac:dyDescent="0.25">
      <c r="A28" s="2" t="s">
        <v>24</v>
      </c>
      <c r="B28" s="3">
        <v>1223813</v>
      </c>
      <c r="C28" s="3">
        <v>144.64045078782462</v>
      </c>
    </row>
    <row r="29" spans="1:7" x14ac:dyDescent="0.25">
      <c r="A29" s="2" t="s">
        <v>26</v>
      </c>
      <c r="B29" s="3">
        <v>3004471</v>
      </c>
      <c r="C29" s="3">
        <v>5390.687350763932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A134-605C-4BBC-8436-18FFF9673EF7}">
  <dimension ref="A1:M32"/>
  <sheetViews>
    <sheetView workbookViewId="0">
      <selection activeCell="K13" sqref="K13"/>
    </sheetView>
  </sheetViews>
  <sheetFormatPr defaultRowHeight="15" x14ac:dyDescent="0.25"/>
  <cols>
    <col min="1" max="1" width="22.7109375" bestFit="1" customWidth="1"/>
    <col min="2" max="2" width="10.7109375" bestFit="1" customWidth="1"/>
    <col min="3" max="3" width="14.5703125" bestFit="1" customWidth="1"/>
    <col min="4" max="4" width="14" bestFit="1" customWidth="1"/>
    <col min="5" max="5" width="21.85546875" customWidth="1"/>
    <col min="6" max="6" width="20.5703125" bestFit="1" customWidth="1"/>
    <col min="7" max="7" width="19.28515625" bestFit="1" customWidth="1"/>
    <col min="8" max="8" width="20.5703125" bestFit="1" customWidth="1"/>
    <col min="9" max="9" width="19.28515625" bestFit="1" customWidth="1"/>
    <col min="10" max="10" width="20.5703125" bestFit="1" customWidth="1"/>
    <col min="11" max="11" width="19.28515625" bestFit="1" customWidth="1"/>
    <col min="12" max="12" width="25.7109375" bestFit="1" customWidth="1"/>
    <col min="13" max="13" width="24.28515625" bestFit="1" customWidth="1"/>
  </cols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0</v>
      </c>
      <c r="B2" t="s">
        <v>1</v>
      </c>
      <c r="C2">
        <v>77016459733</v>
      </c>
      <c r="D2">
        <v>0.86211352952223785</v>
      </c>
      <c r="E2">
        <v>28</v>
      </c>
    </row>
    <row r="3" spans="1:5" x14ac:dyDescent="0.25">
      <c r="A3" t="s">
        <v>2</v>
      </c>
      <c r="B3" t="s">
        <v>1</v>
      </c>
      <c r="C3">
        <v>27064424000</v>
      </c>
      <c r="D3">
        <v>0</v>
      </c>
      <c r="E3">
        <v>18</v>
      </c>
    </row>
    <row r="4" spans="1:5" x14ac:dyDescent="0.25">
      <c r="A4" t="s">
        <v>3</v>
      </c>
      <c r="B4" t="s">
        <v>4</v>
      </c>
      <c r="C4">
        <v>18000078400</v>
      </c>
      <c r="D4">
        <v>0</v>
      </c>
      <c r="E4">
        <v>15</v>
      </c>
    </row>
    <row r="5" spans="1:5" x14ac:dyDescent="0.25">
      <c r="A5" t="s">
        <v>5</v>
      </c>
      <c r="B5" t="s">
        <v>4</v>
      </c>
      <c r="C5">
        <v>5387678876</v>
      </c>
      <c r="D5">
        <v>0</v>
      </c>
      <c r="E5">
        <v>8</v>
      </c>
    </row>
    <row r="6" spans="1:5" x14ac:dyDescent="0.25">
      <c r="A6" t="s">
        <v>6</v>
      </c>
      <c r="B6" t="s">
        <v>4</v>
      </c>
      <c r="C6">
        <v>5179107383</v>
      </c>
      <c r="D6">
        <v>0</v>
      </c>
      <c r="E6">
        <v>5</v>
      </c>
    </row>
    <row r="7" spans="1:5" x14ac:dyDescent="0.25">
      <c r="A7" t="s">
        <v>0</v>
      </c>
      <c r="B7" t="s">
        <v>7</v>
      </c>
      <c r="C7">
        <v>5042587590</v>
      </c>
      <c r="D7">
        <v>0.27168571081389231</v>
      </c>
      <c r="E7">
        <v>34</v>
      </c>
    </row>
    <row r="8" spans="1:5" x14ac:dyDescent="0.25">
      <c r="A8" t="s">
        <v>2</v>
      </c>
      <c r="B8" t="s">
        <v>7</v>
      </c>
      <c r="C8">
        <v>4702990589</v>
      </c>
      <c r="D8">
        <v>0</v>
      </c>
      <c r="E8">
        <v>9</v>
      </c>
    </row>
    <row r="9" spans="1:5" x14ac:dyDescent="0.25">
      <c r="A9" t="s">
        <v>8</v>
      </c>
      <c r="B9" t="s">
        <v>1</v>
      </c>
      <c r="C9">
        <v>4675744757</v>
      </c>
      <c r="D9">
        <v>0</v>
      </c>
      <c r="E9">
        <v>13</v>
      </c>
    </row>
    <row r="10" spans="1:5" x14ac:dyDescent="0.25">
      <c r="A10" t="s">
        <v>9</v>
      </c>
      <c r="B10" t="s">
        <v>7</v>
      </c>
      <c r="C10">
        <v>4491067623</v>
      </c>
      <c r="D10">
        <v>1.5738042007424675</v>
      </c>
      <c r="E10">
        <v>14</v>
      </c>
    </row>
    <row r="11" spans="1:5" x14ac:dyDescent="0.25">
      <c r="A11" t="s">
        <v>9</v>
      </c>
      <c r="B11" t="s">
        <v>4</v>
      </c>
      <c r="C11">
        <v>4251955505</v>
      </c>
      <c r="D11">
        <v>0.8400354898311978</v>
      </c>
      <c r="E11">
        <v>8</v>
      </c>
    </row>
    <row r="12" spans="1:5" x14ac:dyDescent="0.25">
      <c r="A12" t="s">
        <v>8</v>
      </c>
      <c r="B12" t="s">
        <v>10</v>
      </c>
      <c r="C12">
        <v>3239286496</v>
      </c>
      <c r="D12">
        <v>0</v>
      </c>
      <c r="E12">
        <v>3</v>
      </c>
    </row>
    <row r="13" spans="1:5" x14ac:dyDescent="0.25">
      <c r="A13" t="s">
        <v>5</v>
      </c>
      <c r="B13" t="s">
        <v>7</v>
      </c>
      <c r="C13">
        <v>2279360542</v>
      </c>
      <c r="D13">
        <v>0.13003321291038905</v>
      </c>
      <c r="E13">
        <v>14</v>
      </c>
    </row>
    <row r="14" spans="1:5" x14ac:dyDescent="0.25">
      <c r="A14" t="s">
        <v>6</v>
      </c>
      <c r="B14" t="s">
        <v>7</v>
      </c>
      <c r="C14">
        <v>2196644642</v>
      </c>
      <c r="D14">
        <v>3.4832686529323715</v>
      </c>
      <c r="E14">
        <v>12</v>
      </c>
    </row>
    <row r="15" spans="1:5" x14ac:dyDescent="0.25">
      <c r="A15" t="s">
        <v>0</v>
      </c>
      <c r="B15" t="s">
        <v>11</v>
      </c>
      <c r="C15">
        <v>2168748000</v>
      </c>
      <c r="D15">
        <v>0</v>
      </c>
      <c r="E15">
        <v>3</v>
      </c>
    </row>
    <row r="16" spans="1:5" x14ac:dyDescent="0.25">
      <c r="A16" t="s">
        <v>12</v>
      </c>
      <c r="B16" t="s">
        <v>1</v>
      </c>
      <c r="C16">
        <v>2046766178</v>
      </c>
      <c r="D16">
        <v>7.5397719645858327E-2</v>
      </c>
      <c r="E16">
        <v>4</v>
      </c>
    </row>
    <row r="21" spans="1:13" x14ac:dyDescent="0.25">
      <c r="B21" s="15" t="s">
        <v>27</v>
      </c>
      <c r="C21" s="12"/>
      <c r="D21" s="4"/>
      <c r="F21" s="4"/>
      <c r="H21" s="4"/>
      <c r="J21" s="4"/>
      <c r="K21" s="4"/>
      <c r="L21" s="4"/>
    </row>
    <row r="22" spans="1:13" x14ac:dyDescent="0.25">
      <c r="B22" s="4" t="s">
        <v>11</v>
      </c>
      <c r="C22" s="12"/>
      <c r="D22" s="4" t="s">
        <v>4</v>
      </c>
      <c r="F22" s="4" t="s">
        <v>7</v>
      </c>
      <c r="H22" s="4" t="s">
        <v>1</v>
      </c>
      <c r="J22" s="4" t="s">
        <v>10</v>
      </c>
      <c r="K22" s="4"/>
      <c r="L22" s="4" t="s">
        <v>39</v>
      </c>
      <c r="M22" s="4" t="s">
        <v>37</v>
      </c>
    </row>
    <row r="23" spans="1:13" x14ac:dyDescent="0.25">
      <c r="A23" s="1" t="s">
        <v>25</v>
      </c>
      <c r="B23" s="4" t="s">
        <v>40</v>
      </c>
      <c r="C23" s="13" t="s">
        <v>38</v>
      </c>
      <c r="D23" s="11" t="s">
        <v>40</v>
      </c>
      <c r="E23" s="7" t="s">
        <v>38</v>
      </c>
      <c r="F23" s="4" t="s">
        <v>40</v>
      </c>
      <c r="G23" s="7" t="s">
        <v>38</v>
      </c>
      <c r="H23" s="4" t="s">
        <v>40</v>
      </c>
      <c r="I23" s="7" t="s">
        <v>38</v>
      </c>
      <c r="J23" s="4" t="s">
        <v>40</v>
      </c>
      <c r="K23" s="4" t="s">
        <v>38</v>
      </c>
      <c r="L23" s="4"/>
      <c r="M23" s="4"/>
    </row>
    <row r="24" spans="1:13" x14ac:dyDescent="0.25">
      <c r="A24" s="2" t="s">
        <v>0</v>
      </c>
      <c r="B24" s="5">
        <v>0</v>
      </c>
      <c r="C24" s="14">
        <v>2168748000</v>
      </c>
      <c r="D24" s="9"/>
      <c r="E24" s="8"/>
      <c r="F24" s="5">
        <v>0.27168571081389231</v>
      </c>
      <c r="G24" s="8">
        <v>5042587590</v>
      </c>
      <c r="H24" s="5">
        <v>0.86211352952223785</v>
      </c>
      <c r="I24" s="8">
        <v>77016459733</v>
      </c>
      <c r="J24" s="5"/>
      <c r="K24" s="5"/>
      <c r="L24" s="5">
        <v>0.37793308011204335</v>
      </c>
      <c r="M24" s="3">
        <v>84227795323</v>
      </c>
    </row>
    <row r="25" spans="1:13" x14ac:dyDescent="0.25">
      <c r="A25" s="2" t="s">
        <v>2</v>
      </c>
      <c r="B25" s="5"/>
      <c r="C25" s="5"/>
      <c r="D25" s="8"/>
      <c r="E25" s="8"/>
      <c r="F25" s="5">
        <v>0</v>
      </c>
      <c r="G25" s="8">
        <v>4702990589</v>
      </c>
      <c r="H25" s="5">
        <v>0</v>
      </c>
      <c r="I25" s="8">
        <v>27064424000</v>
      </c>
      <c r="J25" s="5"/>
      <c r="K25" s="5"/>
      <c r="L25" s="5">
        <v>0</v>
      </c>
      <c r="M25" s="3">
        <v>31767414589</v>
      </c>
    </row>
    <row r="26" spans="1:13" x14ac:dyDescent="0.25">
      <c r="A26" s="2" t="s">
        <v>12</v>
      </c>
      <c r="B26" s="5"/>
      <c r="C26" s="5"/>
      <c r="D26" s="8"/>
      <c r="E26" s="8"/>
      <c r="F26" s="5"/>
      <c r="G26" s="8"/>
      <c r="H26" s="5">
        <v>7.5397719645858327E-2</v>
      </c>
      <c r="I26" s="8">
        <v>2046766178</v>
      </c>
      <c r="J26" s="5"/>
      <c r="K26" s="5"/>
      <c r="L26" s="5">
        <v>7.5397719645858327E-2</v>
      </c>
      <c r="M26" s="3">
        <v>2046766178</v>
      </c>
    </row>
    <row r="27" spans="1:13" x14ac:dyDescent="0.25">
      <c r="A27" s="2" t="s">
        <v>3</v>
      </c>
      <c r="B27" s="5"/>
      <c r="C27" s="5"/>
      <c r="D27" s="8">
        <v>0</v>
      </c>
      <c r="E27" s="8">
        <v>18000078400</v>
      </c>
      <c r="F27" s="5"/>
      <c r="G27" s="8"/>
      <c r="H27" s="5"/>
      <c r="I27" s="8"/>
      <c r="J27" s="5"/>
      <c r="K27" s="5"/>
      <c r="L27" s="5">
        <v>0</v>
      </c>
      <c r="M27" s="3">
        <v>18000078400</v>
      </c>
    </row>
    <row r="28" spans="1:13" x14ac:dyDescent="0.25">
      <c r="A28" s="2" t="s">
        <v>6</v>
      </c>
      <c r="B28" s="5"/>
      <c r="C28" s="5"/>
      <c r="D28" s="8">
        <v>0</v>
      </c>
      <c r="E28" s="8">
        <v>5179107383</v>
      </c>
      <c r="F28" s="5">
        <v>3.4832686529323715</v>
      </c>
      <c r="G28" s="8">
        <v>2196644642</v>
      </c>
      <c r="H28" s="5"/>
      <c r="I28" s="8"/>
      <c r="J28" s="5"/>
      <c r="K28" s="5"/>
      <c r="L28" s="5">
        <v>1.7416343264661858</v>
      </c>
      <c r="M28" s="3">
        <v>7375752025</v>
      </c>
    </row>
    <row r="29" spans="1:13" x14ac:dyDescent="0.25">
      <c r="A29" s="2" t="s">
        <v>5</v>
      </c>
      <c r="B29" s="5"/>
      <c r="C29" s="5"/>
      <c r="D29" s="8">
        <v>0</v>
      </c>
      <c r="E29" s="8">
        <v>5387678876</v>
      </c>
      <c r="F29" s="5">
        <v>0.13003321291038905</v>
      </c>
      <c r="G29" s="8">
        <v>2279360542</v>
      </c>
      <c r="H29" s="5"/>
      <c r="I29" s="8"/>
      <c r="J29" s="5"/>
      <c r="K29" s="5"/>
      <c r="L29" s="5">
        <v>6.5016606455194526E-2</v>
      </c>
      <c r="M29" s="3">
        <v>7667039418</v>
      </c>
    </row>
    <row r="30" spans="1:13" x14ac:dyDescent="0.25">
      <c r="A30" s="2" t="s">
        <v>8</v>
      </c>
      <c r="B30" s="5"/>
      <c r="C30" s="5"/>
      <c r="D30" s="8"/>
      <c r="E30" s="8"/>
      <c r="F30" s="5"/>
      <c r="G30" s="8"/>
      <c r="H30" s="5">
        <v>0</v>
      </c>
      <c r="I30" s="8">
        <v>4675744757</v>
      </c>
      <c r="J30" s="5">
        <v>0</v>
      </c>
      <c r="K30" s="5">
        <v>3239286496</v>
      </c>
      <c r="L30" s="5">
        <v>0</v>
      </c>
      <c r="M30" s="3">
        <v>7915031253</v>
      </c>
    </row>
    <row r="31" spans="1:13" x14ac:dyDescent="0.25">
      <c r="A31" s="2" t="s">
        <v>9</v>
      </c>
      <c r="B31" s="5"/>
      <c r="C31" s="5"/>
      <c r="D31" s="8">
        <v>0.8400354898311978</v>
      </c>
      <c r="E31" s="8">
        <v>4251955505</v>
      </c>
      <c r="F31" s="5">
        <v>1.5738042007424675</v>
      </c>
      <c r="G31" s="8">
        <v>4491067623</v>
      </c>
      <c r="H31" s="5"/>
      <c r="I31" s="8"/>
      <c r="J31" s="5"/>
      <c r="K31" s="5"/>
      <c r="L31" s="5">
        <v>1.2069198452868326</v>
      </c>
      <c r="M31" s="3">
        <v>8743023128</v>
      </c>
    </row>
    <row r="32" spans="1:13" x14ac:dyDescent="0.25">
      <c r="A32" s="2" t="s">
        <v>26</v>
      </c>
      <c r="B32" s="5">
        <v>0</v>
      </c>
      <c r="C32" s="6">
        <v>2168748000</v>
      </c>
      <c r="D32" s="10">
        <v>0.21000887245779945</v>
      </c>
      <c r="E32" s="8">
        <v>32818820164</v>
      </c>
      <c r="F32" s="5">
        <v>1.0917583554798242</v>
      </c>
      <c r="G32" s="8">
        <v>18712650986</v>
      </c>
      <c r="H32" s="5">
        <v>0.23437781229202403</v>
      </c>
      <c r="I32" s="8">
        <v>110803394668</v>
      </c>
      <c r="J32" s="5">
        <v>0</v>
      </c>
      <c r="K32" s="5">
        <v>3239286496</v>
      </c>
      <c r="L32" s="5">
        <v>0.48242256775989423</v>
      </c>
      <c r="M32" s="3">
        <v>167742900314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8C4F4B-6F24-4624-9D63-B107DBE474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High_Risk_Mines</vt:lpstr>
      <vt:lpstr>Top_Producers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Raisibe  Kekana</dc:creator>
  <cp:lastModifiedBy>Raisibe  Kekana</cp:lastModifiedBy>
  <dcterms:created xsi:type="dcterms:W3CDTF">2026-03-26T08:59:17Z</dcterms:created>
  <dcterms:modified xsi:type="dcterms:W3CDTF">2026-03-26T11:59:35Z</dcterms:modified>
</cp:coreProperties>
</file>